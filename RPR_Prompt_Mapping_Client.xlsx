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7a5a4dd7c4b4506" /></Relationships>
</file>

<file path=xl/workbook.xml><?xml version="1.0" encoding="utf-8"?>
<x:workbook xmlns:x="http://schemas.openxmlformats.org/spreadsheetml/2006/main">
  <x:sheets>
    <x:sheet xmlns:r="http://schemas.openxmlformats.org/officeDocument/2006/relationships" name="Client Summary" sheetId="1" r:id="Rd06dd8d6e6674925"/>
    <x:sheet xmlns:r="http://schemas.openxmlformats.org/officeDocument/2006/relationships" name="Prompt Register" sheetId="2" r:id="R5e1c8632099a4e72"/>
    <x:sheet xmlns:r="http://schemas.openxmlformats.org/officeDocument/2006/relationships" name="Execution Flow" sheetId="3" r:id="Rc92fceb994624628"/>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1"/>
      <x:color rgb="FFFFFFFF"/>
      <x:name val="Carlito"/>
    </x:font>
    <x:font>
      <x:b/>
      <x:sz val="16"/>
      <x:color rgb="FFFFFFFF"/>
      <x:name val="Carlito"/>
    </x:font>
    <x:font>
      <x:sz val="11"/>
      <x:color rgb="FF404040"/>
      <x:name val="Carlito"/>
    </x:font>
    <x:font>
      <x:i/>
      <x:sz val="11"/>
      <x:color rgb="FF7F6000"/>
      <x:name val="Carlito"/>
    </x:font>
  </x:fonts>
  <x:fills count="10">
    <x:fill>
      <x:patternFill patternType="none"/>
    </x:fill>
    <x:fill>
      <x:patternFill patternType="gray125"/>
    </x:fill>
    <x:fill>
      <x:patternFill patternType="solid">
        <x:fgColor rgb="FF4472C4"/>
      </x:patternFill>
    </x:fill>
    <x:fill>
      <x:patternFill patternType="solid">
        <x:fgColor rgb="FFE2F0D9"/>
      </x:patternFill>
    </x:fill>
    <x:fill>
      <x:patternFill patternType="solid">
        <x:fgColor rgb="FFFCE4D6"/>
      </x:patternFill>
    </x:fill>
    <x:fill>
      <x:patternFill patternType="solid">
        <x:fgColor rgb="FFF2F2F2"/>
      </x:patternFill>
    </x:fill>
    <x:fill>
      <x:patternFill patternType="solid">
        <x:fgColor rgb="FFDDEBF7"/>
      </x:patternFill>
    </x:fill>
    <x:fill>
      <x:patternFill patternType="solid">
        <x:fgColor rgb="FF17365D"/>
      </x:patternFill>
    </x:fill>
    <x:fill>
      <x:patternFill patternType="solid">
        <x:fgColor rgb="FFF3F6FA"/>
      </x:patternFill>
    </x:fill>
    <x:fill>
      <x:patternFill patternType="solid">
        <x:fgColor rgb="FFFFF2CC"/>
      </x:patternFill>
    </x:fill>
  </x:fills>
  <x:borders count="2">
    <x:border/>
    <x:border/>
  </x:borders>
  <x:cellStyleXfs count="1">
    <x:xf numFmtId="0" fontId="0" fillId="0" borderId="0"/>
  </x:cellStyleXfs>
  <x:cellXfs count="46">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wrapText="1"/>
    </x:xf>
    <x:xf numFmtId="0" fontId="0" fillId="0" borderId="1" xfId="0" applyNumberFormat="1" applyFont="1" applyFill="1" applyBorder="1" applyAlignment="1">
      <x:alignment vertical="top" wrapText="1"/>
    </x:xf>
    <x:xf numFmtId="0" fontId="0" fillId="3" borderId="0" xfId="0" applyNumberFormat="1" applyFont="1" applyFill="1" applyBorder="1" applyAlignment="1">
      <x:alignment vertical="top" wrapText="1"/>
    </x:xf>
    <x:xf numFmtId="0" fontId="0" fillId="3" borderId="1"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0" fillId="4" borderId="1"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0" fillId="5" borderId="1"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0" fillId="6" borderId="1" xfId="0" applyNumberFormat="1" applyFont="1" applyFill="1" applyBorder="1" applyAlignment="1">
      <x:alignment vertical="top" wrapText="1"/>
    </x:xf>
    <x:xf numFmtId="0" fontId="0" fillId="7" borderId="0" xfId="0" applyNumberFormat="1" applyFont="1" applyFill="1" applyBorder="1"/>
    <x:xf numFmtId="0" fontId="2" fillId="7" borderId="0" xfId="0" applyNumberFormat="1" applyFont="1" applyFill="1" applyBorder="1"/>
    <x:xf numFmtId="0" fontId="2" fillId="7" borderId="0" xfId="0" applyNumberFormat="1" applyFont="1" applyFill="1" applyBorder="1" applyAlignment="1">
      <x:alignment vertical="center"/>
    </x:xf>
    <x:xf numFmtId="0" fontId="0" fillId="7" borderId="1" xfId="0" applyNumberFormat="1" applyFont="1" applyFill="1" applyBorder="1"/>
    <x:xf numFmtId="0" fontId="2" fillId="7" borderId="1" xfId="0" applyNumberFormat="1" applyFont="1" applyFill="1" applyBorder="1"/>
    <x:xf numFmtId="0" fontId="2" fillId="7" borderId="1" xfId="0" applyNumberFormat="1" applyFont="1" applyFill="1" applyBorder="1" applyAlignment="1">
      <x:alignment vertical="center"/>
    </x:xf>
    <x:xf numFmtId="0" fontId="0" fillId="8" borderId="0" xfId="0" applyNumberFormat="1" applyFont="1" applyFill="1" applyBorder="1"/>
    <x:xf numFmtId="0" fontId="3" fillId="8" borderId="0" xfId="0" applyNumberFormat="1" applyFont="1" applyFill="1" applyBorder="1"/>
    <x:xf numFmtId="0" fontId="3" fillId="8" borderId="0" xfId="0" applyNumberFormat="1" applyFont="1" applyFill="1" applyBorder="1" applyAlignment="1">
      <x:alignment wrapText="1"/>
    </x:xf>
    <x:xf numFmtId="0" fontId="3" fillId="8" borderId="0" xfId="0" applyNumberFormat="1" applyFont="1" applyFill="1" applyBorder="1" applyAlignment="1">
      <x:alignment vertical="top" wrapText="1"/>
    </x:xf>
    <x:xf numFmtId="0" fontId="0" fillId="8" borderId="1" xfId="0" applyNumberFormat="1" applyFont="1" applyFill="1" applyBorder="1"/>
    <x:xf numFmtId="0" fontId="3" fillId="8" borderId="1" xfId="0" applyNumberFormat="1" applyFont="1" applyFill="1" applyBorder="1"/>
    <x:xf numFmtId="0" fontId="3" fillId="8" borderId="1" xfId="0" applyNumberFormat="1" applyFont="1" applyFill="1" applyBorder="1" applyAlignment="1">
      <x:alignment wrapText="1"/>
    </x:xf>
    <x:xf numFmtId="0" fontId="3" fillId="8" borderId="1" xfId="0" applyNumberFormat="1" applyFont="1" applyFill="1" applyBorder="1" applyAlignment="1">
      <x:alignment vertical="top" wrapText="1"/>
    </x:xf>
    <x:xf numFmtId="0" fontId="0" fillId="9" borderId="0" xfId="0" applyNumberFormat="1" applyFont="1" applyFill="1" applyBorder="1"/>
    <x:xf numFmtId="0" fontId="4" fillId="9" borderId="0" xfId="0" applyNumberFormat="1" applyFont="1" applyFill="1" applyBorder="1"/>
    <x:xf numFmtId="0" fontId="4" fillId="9" borderId="0" xfId="0" applyNumberFormat="1" applyFont="1" applyFill="1" applyBorder="1" applyAlignment="1">
      <x:alignment wrapText="1"/>
    </x:xf>
    <x:xf numFmtId="0" fontId="4" fillId="9" borderId="0" xfId="0" applyNumberFormat="1" applyFont="1" applyFill="1" applyBorder="1" applyAlignment="1">
      <x:alignment vertical="top" wrapText="1"/>
    </x:xf>
    <x:xf numFmtId="0" fontId="0" fillId="9" borderId="1" xfId="0" applyNumberFormat="1" applyFont="1" applyFill="1" applyBorder="1"/>
    <x:xf numFmtId="0" fontId="4" fillId="9" borderId="1" xfId="0" applyNumberFormat="1" applyFont="1" applyFill="1" applyBorder="1"/>
    <x:xf numFmtId="0" fontId="4" fillId="9" borderId="1" xfId="0" applyNumberFormat="1" applyFont="1" applyFill="1" applyBorder="1" applyAlignment="1">
      <x:alignment wrapText="1"/>
    </x:xf>
    <x:xf numFmtId="0" fontId="4" fillId="9"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0bd4ba9460e4b0b" /><Relationship Type="http://schemas.openxmlformats.org/officeDocument/2006/relationships/theme" Target="/xl/theme/theme1.xml" Id="Rd5e0fb41432246ca" /><Relationship Type="http://schemas.openxmlformats.org/officeDocument/2006/relationships/sharedStrings" Target="/xl/sharedStrings.xml" Id="R6ebd9a59fb3b4f25" /><Relationship Type="http://schemas.openxmlformats.org/officeDocument/2006/relationships/worksheet" Target="/xl/worksheets/sheet1.xml" Id="Rd06dd8d6e6674925" /><Relationship Type="http://schemas.openxmlformats.org/officeDocument/2006/relationships/worksheet" Target="/xl/worksheets/sheet2.xml" Id="R5e1c8632099a4e72" /><Relationship Type="http://schemas.openxmlformats.org/officeDocument/2006/relationships/worksheet" Target="/xl/worksheets/sheet3.xml" Id="Rc92fceb994624628"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8" hidden="0" customWidth="1"/>
    <x:col min="2" max="2" width="28" hidden="0" customWidth="1"/>
    <x:col min="3" max="3" width="40" hidden="0" customWidth="1"/>
    <x:col min="4" max="4" width="38" hidden="0" customWidth="1"/>
    <x:col min="5" max="5" width="42" hidden="0" customWidth="1"/>
    <x:col min="6" max="6" width="31" hidden="0" customWidth="1"/>
    <x:col min="7" max="7" width="29" hidden="0" customWidth="1"/>
    <x:col min="8" max="8" width="48" hidden="0" customWidth="1"/>
  </x:cols>
  <x:sheetData>
    <x:row r="1">
      <x:c r="A1" s="26" t="str">
        <x:v>RPR Prompt Mapping – Client Summary</x:v>
      </x:c>
      <x:c r="B1" s="26"/>
      <x:c r="C1" s="26"/>
      <x:c r="D1" s="26"/>
      <x:c r="E1" s="26"/>
      <x:c r="F1" s="26"/>
      <x:c r="G1" s="26"/>
      <x:c r="H1" s="26"/>
    </x:row>
    <x:row r="2">
      <x:c r="A2" s="26"/>
      <x:c r="B2" s="26"/>
      <x:c r="C2" s="26"/>
      <x:c r="D2" s="26"/>
      <x:c r="E2" s="26"/>
      <x:c r="F2" s="26"/>
      <x:c r="G2" s="26"/>
      <x:c r="H2" s="26"/>
    </x:row>
    <x:row r="3">
      <x:c r="A3" s="33" t="str">
        <x:v>Purpose: distinguish original business prompts from runtime decompositions, implementation helpers and genuinely new experimental prompt content.</x:v>
      </x:c>
      <x:c r="B3" s="33"/>
      <x:c r="C3" s="33"/>
      <x:c r="D3" s="33"/>
      <x:c r="E3" s="33"/>
      <x:c r="F3" s="33"/>
      <x:c r="G3" s="33"/>
      <x:c r="H3" s="33"/>
    </x:row>
    <x:row r="5">
      <x:c r="A5" s="6" t="str">
        <x:v>Category</x:v>
      </x:c>
      <x:c r="B5" s="6" t="str">
        <x:v>Count</x:v>
      </x:c>
      <x:c r="C5" s="6" t="str">
        <x:v>Meaning</x:v>
      </x:c>
      <x:c r="D5" s="6" t="str">
        <x:v>Client message</x:v>
      </x:c>
    </x:row>
    <x:row r="6">
      <x:c r="A6" s="13" t="str">
        <x:v>Original business prompts</x:v>
      </x:c>
      <x:c r="B6" s="13" t="n">
        <x:f>COUNTIF('Prompt Register'!D:D,"Original business prompt")</x:f>
        <x:v>6</x:v>
      </x:c>
      <x:c r="C6" s="13" t="str">
        <x:v>Client-owned / inherited methodology</x:v>
      </x:c>
      <x:c r="D6" s="13" t="str">
        <x:v>Do not describe these as newly created methodology.</x:v>
      </x:c>
    </x:row>
    <x:row r="7">
      <x:c r="A7" s="13" t="str">
        <x:v>Runtime-derived prompts</x:v>
      </x:c>
      <x:c r="B7" s="13" t="n">
        <x:f>COUNTIF('Prompt Register'!D:D,"Runtime prompt derived from original")</x:f>
        <x:v>3</x:v>
      </x:c>
      <x:c r="C7" s="13" t="str">
        <x:v>New executable prompt files derived from originals</x:v>
      </x:c>
      <x:c r="D7" s="13" t="str">
        <x:v>Technical decomposition only; business logic remains traceable to source prompts.</x:v>
      </x:c>
    </x:row>
    <x:row r="8">
      <x:c r="A8" s="13" t="str">
        <x:v>Implementation/helper prompts</x:v>
      </x:c>
      <x:c r="B8" s="13" t="n">
        <x:f>COUNTIF('Prompt Register'!D:D,"Implementation prompt")+COUNTIF('Prompt Register'!D:D,"Technical runtime helper")+COUNTIF('Prompt Register'!D:D,"Technical helper prompts")</x:f>
        <x:v>3</x:v>
      </x:c>
      <x:c r="C8" s="13" t="str">
        <x:v>Operational controls required by the application</x:v>
      </x:c>
      <x:c r="D8" s="13" t="str">
        <x:v>Implementation-specific helpers, not separate credit methodology.</x:v>
      </x:c>
    </x:row>
    <x:row r="9">
      <x:c r="A9" s="13" t="str">
        <x:v>New experimental prompts</x:v>
      </x:c>
      <x:c r="B9" s="13" t="n">
        <x:f>COUNTIF('Prompt Register'!D:D,"New experimental prompt")</x:f>
        <x:v>1</x:v>
      </x:c>
      <x:c r="C9" s="13" t="str">
        <x:v>New analytical enhancement proposal</x:v>
      </x:c>
      <x:c r="D9" s="13" t="str">
        <x:v>Treat as proposed enhancement and subject to client review/approval.</x:v>
      </x:c>
    </x:row>
    <x:row r="11">
      <x:c r="A11" s="6" t="str">
        <x:v>Flow Position</x:v>
      </x:c>
      <x:c r="B11" s="6" t="str">
        <x:v>Original / Source Prompt</x:v>
      </x:c>
      <x:c r="C11" s="6" t="str">
        <x:v>Runtime / Other Prompt</x:v>
      </x:c>
      <x:c r="D11" s="6" t="str">
        <x:v>Short Function</x:v>
      </x:c>
      <x:c r="E11" s="6" t="str">
        <x:v>Why Split / Created</x:v>
      </x:c>
      <x:c r="F11" s="6" t="str">
        <x:v>Execution Position</x:v>
      </x:c>
      <x:c r="G11" s="6" t="str">
        <x:v>Model / Engine</x:v>
      </x:c>
      <x:c r="H11" s="6" t="str">
        <x:v>Key Client Note</x:v>
      </x:c>
    </x:row>
    <x:row r="12">
      <x:c r="A12" s="13" t="str">
        <x:v>Step 1</x:v>
      </x:c>
      <x:c r="B12" s="13" t="str">
        <x:v>Risk Event Intake &amp; Enrich</x:v>
      </x:c>
      <x:c r="C12" s="13" t="str">
        <x:v>trigger1_batch_discovery_evidence.txt + R2D2 helpers; experimental Step1 v2 sits outside baseline</x:v>
      </x:c>
      <x:c r="D12" s="13" t="str">
        <x:v>Discover, evidence, enrich and refine market/credit events.</x:v>
      </x:c>
      <x:c r="E12" s="13" t="str">
        <x:v>Progressive pipeline; helper prompts support runtime control. v2 is an optional enhancement proposal.</x:v>
      </x:c>
      <x:c r="F12" s="13" t="str">
        <x:v>Discovery → evidence enrichment → refinement</x:v>
      </x:c>
      <x:c r="G12" s="13" t="str">
        <x:v>Gemini 3.5 Flash → Claude Opus</x:v>
      </x:c>
      <x:c r="H12" s="13" t="str">
        <x:v>Original business objective preserved; only v2 adds genuinely new analytical requirements.</x:v>
      </x:c>
    </x:row>
    <x:row r="13">
      <x:c r="A13" s="13" t="str">
        <x:v>Step 2.1</x:v>
      </x:c>
      <x:c r="B13" s="13" t="str">
        <x:v>Step 2a V7 – Part 1</x:v>
      </x:c>
      <x:c r="C13" s="13" t="str">
        <x:v>backend/prompts/step2_scenario.txt</x:v>
      </x:c>
      <x:c r="D13" s="13" t="str">
        <x:v>Scenario narrative + critical assumptions.</x:v>
      </x:c>
      <x:c r="E13" s="13" t="str">
        <x:v>Split from the larger V7 prompt to reduce complexity and improve testability.</x:v>
      </x:c>
      <x:c r="F13" s="13" t="str">
        <x:v>After Step 1, before portfolio/factor analysis</x:v>
      </x:c>
      <x:c r="G13" s="13" t="str">
        <x:v>Claude Opus</x:v>
      </x:c>
      <x:c r="H13" s="13" t="str">
        <x:v>Runtime split, not new methodology.</x:v>
      </x:c>
    </x:row>
    <x:row r="14">
      <x:c r="A14" s="13" t="str">
        <x:v>Step 2.2</x:v>
      </x:c>
      <x:c r="B14" s="13" t="str">
        <x:v>N/A</x:v>
      </x:c>
      <x:c r="C14" s="13" t="str">
        <x:v>No LLM prompt – deterministic backend portfolio selection</x:v>
      </x:c>
      <x:c r="D14" s="13" t="str">
        <x:v>Selects portfolio via governed taxonomy/filtering or user upload.</x:v>
      </x:c>
      <x:c r="E14" s="13" t="str">
        <x:v>No prompt needed; this is data selection logic.</x:v>
      </x:c>
      <x:c r="F14" s="13" t="str">
        <x:v>Between scenario and factor generation</x:v>
      </x:c>
      <x:c r="G14" s="13" t="str">
        <x:v>Backend logic</x:v>
      </x:c>
      <x:c r="H14" s="13" t="str">
        <x:v>Important control point: not every product step requires an AI prompt.</x:v>
      </x:c>
    </x:row>
    <x:row r="15">
      <x:c r="A15" s="13" t="str">
        <x:v>Step 2.3</x:v>
      </x:c>
      <x:c r="B15" s="13" t="str">
        <x:v>Step 2a V7 – Part 2</x:v>
      </x:c>
      <x:c r="C15" s="13" t="str">
        <x:v>backend/prompts/step2_event_factors.txt</x:v>
      </x:c>
      <x:c r="D15" s="13" t="str">
        <x:v>Event-driven risk factors, metrics, buffers, scoring and importance.</x:v>
      </x:c>
      <x:c r="E15" s="13" t="str">
        <x:v>Split from V7 to isolate factor generation and backend validation.</x:v>
      </x:c>
      <x:c r="F15" s="13" t="str">
        <x:v>After portfolio selection</x:v>
      </x:c>
      <x:c r="G15" s="13" t="str">
        <x:v>Claude Opus; Sonnet repair/revision where used</x:v>
      </x:c>
      <x:c r="H15" s="13" t="str">
        <x:v>Runtime split, not new methodology.</x:v>
      </x:c>
    </x:row>
    <x:row r="16">
      <x:c r="A16" s="13" t="str">
        <x:v>Step 2.4</x:v>
      </x:c>
      <x:c r="B16" s="13" t="str">
        <x:v>Step 2b V6.0</x:v>
      </x:c>
      <x:c r="C16" s="13" t="str">
        <x:v>V6 runtime prompt; V5.2 legacy prompt retained as rollback</x:v>
      </x:c>
      <x:c r="D16" s="13" t="str">
        <x:v>Sector-inherent structural factor analysis.</x:v>
      </x:c>
      <x:c r="E16" s="13" t="str">
        <x:v>V6 aligns runtime to original business prompt; V5.2 reflects earlier governed-taxonomy implementation.</x:v>
      </x:c>
      <x:c r="F16" s="13" t="str">
        <x:v>After event-driven factors</x:v>
      </x:c>
      <x:c r="G16" s="13" t="str">
        <x:v>Claude Opus</x:v>
      </x:c>
      <x:c r="H16" s="13" t="str">
        <x:v>V5.2 and V6 are methodologically different; V6 is the source-aligned path.</x:v>
      </x:c>
    </x:row>
    <x:row r="17">
      <x:c r="A17" s="13" t="str">
        <x:v>Step 2.5</x:v>
      </x:c>
      <x:c r="B17" s="13" t="str">
        <x:v>Step 3a Financials / Step 3b Credit Memo</x:v>
      </x:c>
      <x:c r="C17" s="13" t="str">
        <x:v>Runtime implementation to be aligned/confirmed</x:v>
      </x:c>
      <x:c r="D17" s="13" t="str">
        <x:v>Name-level residual-risk assessment and RRR/classification actions.</x:v>
      </x:c>
      <x:c r="E17" s="13" t="str">
        <x:v>Provides two evidence routes: financial data and Credit Memo.</x:v>
      </x:c>
      <x:c r="F17" s="13" t="str">
        <x:v>After event + sector factors</x:v>
      </x:c>
      <x:c r="G17" s="13" t="str">
        <x:v>To be confirmed in final implementation</x:v>
      </x:c>
      <x:c r="H17" s="13" t="str">
        <x:v>Source prompts are original; runtime mapping should remain traceable.</x:v>
      </x:c>
    </x:row>
    <x:row r="18">
      <x:c r="A18" s="13" t="str">
        <x:v>Final / Step 4</x:v>
      </x:c>
      <x:c r="B18" s="13" t="str">
        <x:v>Sector Impact Assessment v4.1</x:v>
      </x:c>
      <x:c r="C18" s="13" t="str">
        <x:v>Runtime implementation to be aligned/confirmed</x:v>
      </x:c>
      <x:c r="D18" s="13" t="str">
        <x:v>Exposure-weighted sector/portfolio synthesis and HTML report.</x:v>
      </x:c>
      <x:c r="E18" s="13" t="str">
        <x:v>Final aggregation/presentation layer.</x:v>
      </x:c>
      <x:c r="F18" s="13" t="str">
        <x:v>After name-level assessment</x:v>
      </x:c>
      <x:c r="G18" s="13" t="str">
        <x:v>To be confirmed in final implementation</x:v>
      </x:c>
      <x:c r="H18" s="13" t="str">
        <x:v>Original business prompt; not newly created methodology.</x:v>
      </x:c>
    </x:row>
    <x:row r="21">
      <x:c r="A21" s="41" t="str">
        <x:v>Recommended client wording: “The application preserves the original business prompt methodology, while selected source prompts are decomposed into smaller runtime prompts for orchestration, testability and governance. Technical helper prompts support execution. Only the Enhanced Step 1 v2 is a genuinely new analytical prompt proposal and should be treated as an optional enhancement subject to review.”</x:v>
      </x:c>
      <x:c r="B21" s="41"/>
      <x:c r="C21" s="41"/>
      <x:c r="D21" s="41"/>
      <x:c r="E21" s="41"/>
      <x:c r="F21" s="41"/>
      <x:c r="G21" s="41"/>
      <x:c r="H21" s="41"/>
    </x:row>
    <x:row r="22">
      <x:c r="A22" s="41"/>
      <x:c r="B22" s="41"/>
      <x:c r="C22" s="41"/>
      <x:c r="D22" s="41"/>
      <x:c r="E22" s="41"/>
      <x:c r="F22" s="41"/>
      <x:c r="G22" s="41"/>
      <x:c r="H22" s="41"/>
    </x:row>
  </x:sheetData>
  <x:mergeCells>
    <x:mergeCell ref="A1:H2"/>
    <x:mergeCell ref="A3:H3"/>
    <x:mergeCell ref="A21:H22"/>
  </x:mergeCells>
  <x:pageMargins left="0.7" right="0.7" top="0.75" bottom="0.75" header="0.3" footer="0.3"/>
</x:worksheet>
</file>

<file path=xl/worksheets/sheet2.xml><?xml version="1.0" encoding="utf-8"?>
<x:worksheet xmlns:x="http://schemas.openxmlformats.org/spreadsheetml/2006/main">
  <x:sheetFormatPr defaultRowHeight="15"/>
  <x:cols>
    <x:col min="1" max="1" width="7" hidden="0" customWidth="1"/>
    <x:col min="2" max="2" width="25" hidden="0" customWidth="1"/>
    <x:col min="3" max="3" width="42" hidden="0" customWidth="1"/>
    <x:col min="4" max="4" width="23" hidden="0" customWidth="1"/>
    <x:col min="5" max="5" width="27" hidden="0" customWidth="1"/>
    <x:col min="6" max="6" width="42" hidden="0" customWidth="1"/>
    <x:col min="7" max="7" width="42" hidden="0" customWidth="1"/>
    <x:col min="8" max="8" width="32" hidden="0" customWidth="1"/>
    <x:col min="9" max="9" width="30" hidden="0" customWidth="1"/>
    <x:col min="10" max="10" width="24" hidden="0" customWidth="1"/>
    <x:col min="11" max="11" width="48" hidden="0" customWidth="1"/>
  </x:cols>
  <x:sheetData>
    <x:row r="1">
      <x:c r="A1" s="6" t="str">
        <x:v>ID</x:v>
      </x:c>
      <x:c r="B1" s="6" t="str">
        <x:v>Product / Business Step</x:v>
      </x:c>
      <x:c r="C1" s="6" t="str">
        <x:v>Prompt / File</x:v>
      </x:c>
      <x:c r="D1" s="6" t="str">
        <x:v>Prompt Type</x:v>
      </x:c>
      <x:c r="E1" s="6" t="str">
        <x:v>Source / Provenance</x:v>
      </x:c>
      <x:c r="F1" s="6" t="str">
        <x:v>What It Does (short)</x:v>
      </x:c>
      <x:c r="G1" s="6" t="str">
        <x:v>Why It Exists / Was Created</x:v>
      </x:c>
      <x:c r="H1" s="6" t="str">
        <x:v>Where It Executes</x:v>
      </x:c>
      <x:c r="I1" s="6" t="str">
        <x:v>Typical Runtime / Model</x:v>
      </x:c>
      <x:c r="J1" s="6" t="str">
        <x:v>Current Status</x:v>
      </x:c>
      <x:c r="K1" s="6" t="str">
        <x:v>Client-Safe Interpretation</x:v>
      </x:c>
    </x:row>
    <x:row r="2">
      <x:c r="A2" s="16" t="str">
        <x:v>P01</x:v>
      </x:c>
      <x:c r="B2" s="16" t="str">
        <x:v>Step 1 – Risk Event Intake &amp; Enrich</x:v>
      </x:c>
      <x:c r="C2" s="16" t="str">
        <x:v>Prompt - Step 1 - Risk Event Intake &amp; Enrich.docx</x:v>
      </x:c>
      <x:c r="D2" s="16" t="str">
        <x:v>Original business prompt</x:v>
      </x:c>
      <x:c r="E2" s="16" t="str">
        <x:v>Existing client/business source</x:v>
      </x:c>
      <x:c r="F2" s="16" t="str">
        <x:v>Creates the enriched credit-risk event narrative in the original 8-section structure.</x:v>
      </x:c>
      <x:c r="G2" s="16" t="str">
        <x:v>Authoritative business baseline for Step 1.</x:v>
      </x:c>
      <x:c r="H2" s="16" t="str">
        <x:v>Business source for Step 1; current application operationalizes it across discovery → evidence enrichment → refinement.</x:v>
      </x:c>
      <x:c r="I2" s="16" t="str">
        <x:v>Pipeline: Gemini discovery/evidence + Claude Opus refinement</x:v>
      </x:c>
      <x:c r="J2" s="16" t="str">
        <x:v>Original / source</x:v>
      </x:c>
      <x:c r="K2" s="16" t="str">
        <x:v>Not newly invented. It is the source methodology that the runtime pipeline implements.</x:v>
      </x:c>
    </x:row>
    <x:row r="3">
      <x:c r="A3" s="18" t="str">
        <x:v>P02</x:v>
      </x:c>
      <x:c r="B3" s="18" t="str">
        <x:v>Step 1 – enhancement design</x:v>
      </x:c>
      <x:c r="C3" s="18" t="str">
        <x:v>Enhanced Step 1 v2 (experimental draft)</x:v>
      </x:c>
      <x:c r="D3" s="18" t="str">
        <x:v>New experimental prompt</x:v>
      </x:c>
      <x:c r="E3" s="18" t="str">
        <x:v>Created during RPR enhancement work</x:v>
      </x:c>
      <x:c r="F3" s="18" t="str">
        <x:v>Adds stronger evidence discipline, conflict handling, disconfirming search, counter-thesis, monitored assumptions and structured output.</x:v>
      </x:c>
      <x:c r="G3" s="18" t="str">
        <x:v>Proposed to improve evidence quality, traceability and governance.</x:v>
      </x:c>
      <x:c r="H3" s="18" t="str">
        <x:v>Design/reference layer only; should be selectively distributed across Step 1 stages rather than used as one large monolithic call.</x:v>
      </x:c>
      <x:c r="I3" s="18" t="str">
        <x:v>Not treated as a single production call</x:v>
      </x:c>
      <x:c r="J3" s="18" t="str">
        <x:v>Experimental / not baseline</x:v>
      </x:c>
      <x:c r="K3" s="18" t="str">
        <x:v>This is genuinely new analytical prompt content. It should be treated as a proposed enhancement, not as original client methodology.</x:v>
      </x:c>
    </x:row>
    <x:row r="4">
      <x:c r="A4" s="20" t="str">
        <x:v>P03</x:v>
      </x:c>
      <x:c r="B4" s="20" t="str">
        <x:v>Step 1 – Trigger 1 discovery/evidence</x:v>
      </x:c>
      <x:c r="C4" s="20" t="str">
        <x:v>trigger1_batch_discovery_evidence.txt</x:v>
      </x:c>
      <x:c r="D4" s="20" t="str">
        <x:v>Technical runtime helper</x:v>
      </x:c>
      <x:c r="E4" s="20" t="str">
        <x:v>Created/updated for implementation</x:v>
      </x:c>
      <x:c r="F4" s="20" t="str">
        <x:v>Runs batch market-event discovery and evidence capture for selected themes.</x:v>
      </x:c>
      <x:c r="G4" s="20" t="str">
        <x:v>Operationalizes the progressive Step 1 pipeline and keeps theme/event discovery structured.</x:v>
      </x:c>
      <x:c r="H4" s="20" t="str">
        <x:v>Step 1 Trigger 1 – discovery/evidence stage.</x:v>
      </x:c>
      <x:c r="I4" s="20" t="str">
        <x:v>Gemini 3.5 Flash</x:v>
      </x:c>
      <x:c r="J4" s="20" t="str">
        <x:v>Runtime</x:v>
      </x:c>
      <x:c r="K4" s="20" t="str">
        <x:v>Implementation prompt supporting the original Step 1 business objective; not a separate business methodology.</x:v>
      </x:c>
    </x:row>
    <x:row r="5">
      <x:c r="A5" s="20" t="str">
        <x:v>P04</x:v>
      </x:c>
      <x:c r="B5" s="20" t="str">
        <x:v>Step 1 – support controls</x:v>
      </x:c>
      <x:c r="C5" s="20" t="str">
        <x:v>R2D2 ADDED-1 / ADDED-2 / ADDED-3</x:v>
      </x:c>
      <x:c r="D5" s="20" t="str">
        <x:v>Technical helper prompts</x:v>
      </x:c>
      <x:c r="E5" s="20" t="str">
        <x:v>Created for implementation support</x:v>
      </x:c>
      <x:c r="F5" s="20" t="str">
        <x:v>Adds structured runtime controls around Step 1 evidence/refinement behavior.</x:v>
      </x:c>
      <x:c r="G5" s="20" t="str">
        <x:v>Supports prompt orchestration and quality controls without replacing the source business prompt.</x:v>
      </x:c>
      <x:c r="H5" s="20" t="str">
        <x:v>Step 1 support layer around enrichment/refinement.</x:v>
      </x:c>
      <x:c r="I5" s="20" t="str">
        <x:v>Runtime helper layer</x:v>
      </x:c>
      <x:c r="J5" s="20" t="str">
        <x:v>Runtime helpers</x:v>
      </x:c>
      <x:c r="K5" s="20" t="str">
        <x:v>Technical helper prompts. Exact sub-call placement should be confirmed from source code before external technical sign-off.</x:v>
      </x:c>
    </x:row>
    <x:row r="6">
      <x:c r="A6" s="16" t="str">
        <x:v>P05</x:v>
      </x:c>
      <x:c r="B6" s="16" t="str">
        <x:v>Business Step 2a – Scenario + Event Factors</x:v>
      </x:c>
      <x:c r="C6" s="16" t="str">
        <x:v>Prompt - Step 2a - Event Driven Factor_Metrics_Weighting_Avoid Pessimism_5scale.docx (V7 source)</x:v>
      </x:c>
      <x:c r="D6" s="16" t="str">
        <x:v>Original business prompt</x:v>
      </x:c>
      <x:c r="E6" s="16" t="str">
        <x:v>Existing client/business source</x:v>
      </x:c>
      <x:c r="F6" s="16" t="str">
        <x:v>One combined prompt covering scenario narrative, critical assumptions, event-driven factors, metrics, buffers, scoring and weights.</x:v>
      </x:c>
      <x:c r="G6" s="16" t="str">
        <x:v>Authoritative business specification for original Step 2a.</x:v>
      </x:c>
      <x:c r="H6" s="16" t="str">
        <x:v>In the application it is intentionally split into Step 2.1 and Step 2.3 runtime prompts.</x:v>
      </x:c>
      <x:c r="I6" s="16" t="str">
        <x:v>Business source; runtime split</x:v>
      </x:c>
      <x:c r="J6" s="16" t="str">
        <x:v>Original / source</x:v>
      </x:c>
      <x:c r="K6" s="16" t="str">
        <x:v>No new methodology was required to create the split; the application decomposes one large source prompt into two controlled stages.</x:v>
      </x:c>
    </x:row>
    <x:row r="7">
      <x:c r="A7" s="22" t="str">
        <x:v>P06</x:v>
      </x:c>
      <x:c r="B7" s="22" t="str">
        <x:v>Step 2.1 – Scenario &amp; Assumptions</x:v>
      </x:c>
      <x:c r="C7" s="22" t="str">
        <x:v>backend/prompts/step2_scenario.txt</x:v>
      </x:c>
      <x:c r="D7" s="22" t="str">
        <x:v>Runtime prompt derived from original</x:v>
      </x:c>
      <x:c r="E7" s="22" t="str">
        <x:v>Derived from Part 1 of original Step 2a V7</x:v>
      </x:c>
      <x:c r="F7" s="22" t="str">
        <x:v>Generates the scenario narrative and critical assumptions.</x:v>
      </x:c>
      <x:c r="G7" s="22" t="str">
        <x:v>Separates scenario construction from factor generation so each stage is smaller, testable and easier to govern.</x:v>
      </x:c>
      <x:c r="H7" s="22" t="str">
        <x:v>Step 2.1 – Scenario &amp; Assumptions.</x:v>
      </x:c>
      <x:c r="I7" s="22" t="str">
        <x:v>Claude Opus</x:v>
      </x:c>
      <x:c r="J7" s="22" t="str">
        <x:v>Runtime</x:v>
      </x:c>
      <x:c r="K7" s="22" t="str">
        <x:v>New runtime file, but not new business methodology; it is a technical decomposition of the original V7 prompt.</x:v>
      </x:c>
    </x:row>
    <x:row r="8">
      <x:c r="A8" s="22" t="str">
        <x:v>P07</x:v>
      </x:c>
      <x:c r="B8" s="22" t="str">
        <x:v>Step 2.3 – Event-Driven Risk Factors</x:v>
      </x:c>
      <x:c r="C8" s="22" t="str">
        <x:v>backend/prompts/step2_event_factors.txt</x:v>
      </x:c>
      <x:c r="D8" s="22" t="str">
        <x:v>Runtime prompt derived from original</x:v>
      </x:c>
      <x:c r="E8" s="22" t="str">
        <x:v>Derived from Part 2 of original Step 2a V7</x:v>
      </x:c>
      <x:c r="F8" s="22" t="str">
        <x:v>Generates event-driven factors, vulnerability metrics, buffer metrics, scoring logic and importance.</x:v>
      </x:c>
      <x:c r="G8" s="22" t="str">
        <x:v>Separates factor generation from scenario creation and supports deterministic backend weighting/validation.</x:v>
      </x:c>
      <x:c r="H8" s="22" t="str">
        <x:v>Step 2.3 – Event-Driven Risk Factors.</x:v>
      </x:c>
      <x:c r="I8" s="22" t="str">
        <x:v>Claude Opus reasoning; Sonnet for repair/revision where used</x:v>
      </x:c>
      <x:c r="J8" s="22" t="str">
        <x:v>Runtime</x:v>
      </x:c>
      <x:c r="K8" s="22" t="str">
        <x:v>New runtime file, but its analytical methodology comes from the original V7 business prompt.</x:v>
      </x:c>
    </x:row>
    <x:row r="9">
      <x:c r="A9" s="16" t="str">
        <x:v>P08</x:v>
      </x:c>
      <x:c r="B9" s="16" t="str">
        <x:v>Business Step 2b – Sector-Inherent Factors</x:v>
      </x:c>
      <x:c r="C9" s="16" t="str">
        <x:v>Enhanced Prompt: Sector-Inherent Factor Identification, Metrics and Weighting — V6.0</x:v>
      </x:c>
      <x:c r="D9" s="16" t="str">
        <x:v>Original business prompt</x:v>
      </x:c>
      <x:c r="E9" s="16" t="str">
        <x:v>Existing client/business source</x:v>
      </x:c>
      <x:c r="F9" s="16" t="str">
        <x:v>Identifies 4–5 structural sector-inherent factors and defines vulnerability, buffers, thresholds, scoring and weights.</x:v>
      </x:c>
      <x:c r="G9" s="16" t="str">
        <x:v>Authoritative business specification for sector-inherent risk analysis.</x:v>
      </x:c>
      <x:c r="H9" s="16" t="str">
        <x:v>Business source for the current Step 2.4 V6 implementation.</x:v>
      </x:c>
      <x:c r="I9" s="16" t="str">
        <x:v>Business source</x:v>
      </x:c>
      <x:c r="J9" s="16" t="str">
        <x:v>Original / source</x:v>
      </x:c>
      <x:c r="K9" s="16" t="str">
        <x:v>Original methodology; the runtime implementation should align to this V6 specification.</x:v>
      </x:c>
    </x:row>
    <x:row r="10">
      <x:c r="A10" s="20" t="str">
        <x:v>P09</x:v>
      </x:c>
      <x:c r="B10" s="20" t="str">
        <x:v>Step 2.4 – Sector-Inherent Factors (legacy)</x:v>
      </x:c>
      <x:c r="C10" s="20" t="str">
        <x:v>backend/prompts/step24_sector_inherent_v5_2.txt</x:v>
      </x:c>
      <x:c r="D10" s="20" t="str">
        <x:v>Implementation prompt</x:v>
      </x:c>
      <x:c r="E10" s="20" t="str">
        <x:v>Created for earlier Step 2.4 implementation</x:v>
      </x:c>
      <x:c r="F10" s="20" t="str">
        <x:v>Uses a governed CSV taxonomy and asks the model to elaborate metrics/scoring around predefined sector factors.</x:v>
      </x:c>
      <x:c r="G10" s="20" t="str">
        <x:v>Created to control taxonomy and reduce factor invention in the earlier implementation.</x:v>
      </x:c>
      <x:c r="H10" s="20" t="str">
        <x:v>Step 2.4 legacy V5.2 path.</x:v>
      </x:c>
      <x:c r="I10" s="20" t="str">
        <x:v>Claude Opus</x:v>
      </x:c>
      <x:c r="J10" s="20" t="str">
        <x:v>Preserved rollback / legacy</x:v>
      </x:c>
      <x:c r="K10" s="20" t="str">
        <x:v>Implementation-specific methodology. It differs from V6 because factor names are predefined rather than independently researched by the model.</x:v>
      </x:c>
    </x:row>
    <x:row r="11">
      <x:c r="A11" s="22" t="str">
        <x:v>P10</x:v>
      </x:c>
      <x:c r="B11" s="22" t="str">
        <x:v>Step 2.4 – Sector-Inherent Factors (current V6)</x:v>
      </x:c>
      <x:c r="C11" s="22" t="str">
        <x:v>Step 2.4 V6 runtime prompt (local V6 prompt used by V6 service)</x:v>
      </x:c>
      <x:c r="D11" s="22" t="str">
        <x:v>Runtime prompt derived from original</x:v>
      </x:c>
      <x:c r="E11" s="22" t="str">
        <x:v>Adapted from original Step 2b V6.0 business prompt</x:v>
      </x:c>
      <x:c r="F11" s="22" t="str">
        <x:v>Independently identifies structural sector factors, applies the persistence test and generates vulnerability/buffer/scoring content.</x:v>
      </x:c>
      <x:c r="G11" s="22" t="str">
        <x:v>Created to align the application runtime with the original V6 business methodology while preserving the V5.2 rollback path.</x:v>
      </x:c>
      <x:c r="H11" s="22" t="str">
        <x:v>Step 2.4 V6 generate/revise/finalize flow.</x:v>
      </x:c>
      <x:c r="I11" s="22" t="str">
        <x:v>Claude Opus reasoning</x:v>
      </x:c>
      <x:c r="J11" s="22" t="str">
        <x:v>Current V6 runtime</x:v>
      </x:c>
      <x:c r="K11" s="22" t="str">
        <x:v>Runtime representation of original V6 methodology. Exact runtime filename should be verified from the current source tree before final technical documentation.</x:v>
      </x:c>
    </x:row>
    <x:row r="12">
      <x:c r="A12" s="16" t="str">
        <x:v>P11</x:v>
      </x:c>
      <x:c r="B12" s="16" t="str">
        <x:v>Step 2.5 / Source Step 3a – Name Assessment (Financials)</x:v>
      </x:c>
      <x:c r="C12" s="16" t="str">
        <x:v>Prompt - Step 3a - Factor Analysis - Financials - 5scale.docx</x:v>
      </x:c>
      <x:c r="D12" s="16" t="str">
        <x:v>Original business prompt</x:v>
      </x:c>
      <x:c r="E12" s="16" t="str">
        <x:v>Existing client/business source</x:v>
      </x:c>
      <x:c r="F12" s="16" t="str">
        <x:v>Assesses each company using financial data plus event and sector factors; calculates residual risk and RRR/classification actions.</x:v>
      </x:c>
      <x:c r="G12" s="16" t="str">
        <x:v>Authoritative source for quantitative name-level financial assessment.</x:v>
      </x:c>
      <x:c r="H12" s="16" t="str">
        <x:v>Planned/current name-level assessment stage after portfolio and factor generation.</x:v>
      </x:c>
      <x:c r="I12" s="16" t="str">
        <x:v>Runtime mapping to be aligned/confirmed</x:v>
      </x:c>
      <x:c r="J12" s="16" t="str">
        <x:v>Original / source</x:v>
      </x:c>
      <x:c r="K12" s="16" t="str">
        <x:v>Reconstructed from source screenshots; not newly designed methodology.</x:v>
      </x:c>
    </x:row>
    <x:row r="13">
      <x:c r="A13" s="16" t="str">
        <x:v>P12</x:v>
      </x:c>
      <x:c r="B13" s="16" t="str">
        <x:v>Step 2.5 / Source Step 3b – Name Assessment (Credit Memo)</x:v>
      </x:c>
      <x:c r="C13" s="16" t="str">
        <x:v>Prompt - Step 3b - Factor Analysis - Credit Memo - 5scale.docx</x:v>
      </x:c>
      <x:c r="D13" s="16" t="str">
        <x:v>Original business prompt</x:v>
      </x:c>
      <x:c r="E13" s="16" t="str">
        <x:v>Existing client/business source</x:v>
      </x:c>
      <x:c r="F13" s="16" t="str">
        <x:v>Performs the same residual-risk framework using the Credit Memo as the primary evidence source.</x:v>
      </x:c>
      <x:c r="G13" s="16" t="str">
        <x:v>Provides a Credit-Memo-based assessment path alongside the financial-data path.</x:v>
      </x:c>
      <x:c r="H13" s="16" t="str">
        <x:v>Name-level assessment alternative/complement to Step 3a.</x:v>
      </x:c>
      <x:c r="I13" s="16" t="str">
        <x:v>Runtime mapping to be aligned/confirmed</x:v>
      </x:c>
      <x:c r="J13" s="16" t="str">
        <x:v>Original / source</x:v>
      </x:c>
      <x:c r="K13" s="16" t="str">
        <x:v>Reconstructed from source screenshots; not newly designed methodology.</x:v>
      </x:c>
    </x:row>
    <x:row r="14">
      <x:c r="A14" s="16" t="str">
        <x:v>P13</x:v>
      </x:c>
      <x:c r="B14" s="16" t="str">
        <x:v>Final Portfolio / Source Step 4 – Sector Impact</x:v>
      </x:c>
      <x:c r="C14" s="16" t="str">
        <x:v>Prompt_ Step 4_Sector_Impact_Assessment.docx (v4.1)</x:v>
      </x:c>
      <x:c r="D14" s="16" t="str">
        <x:v>Original business prompt</x:v>
      </x:c>
      <x:c r="E14" s="16" t="str">
        <x:v>Existing client/business source</x:v>
      </x:c>
      <x:c r="F14" s="16" t="str">
        <x:v>Aggregates name-level assessments and exposure data into sector/portfolio impact metrics and a self-contained HTML report.</x:v>
      </x:c>
      <x:c r="G14" s="16" t="str">
        <x:v>Provides final portfolio-level synthesis and presentation.</x:v>
      </x:c>
      <x:c r="H14" s="16" t="str">
        <x:v>Final aggregation/reporting stage after name-level assessment.</x:v>
      </x:c>
      <x:c r="I14" s="16" t="str">
        <x:v>Runtime mapping to be aligned/confirmed</x:v>
      </x:c>
      <x:c r="J14" s="16" t="str">
        <x:v>Original / source</x:v>
      </x:c>
      <x:c r="K14" s="16" t="str">
        <x:v>Reconstructed from source screenshots; not newly designed methodology.</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8" hidden="0" customWidth="1"/>
    <x:col min="2" max="2" width="18" hidden="0" customWidth="1"/>
    <x:col min="3" max="3" width="34" hidden="0" customWidth="1"/>
    <x:col min="4" max="4" width="50" hidden="0" customWidth="1"/>
    <x:col min="5" max="5" width="40" hidden="0" customWidth="1"/>
    <x:col min="6" max="6" width="28" hidden="0" customWidth="1"/>
    <x:col min="7" max="7" width="34" hidden="0" customWidth="1"/>
  </x:cols>
  <x:sheetData>
    <x:row r="1">
      <x:c r="A1" s="26" t="str">
        <x:v>RPR Prompt Execution Flow</x:v>
      </x:c>
      <x:c r="B1" s="26"/>
      <x:c r="C1" s="26"/>
      <x:c r="D1" s="26"/>
      <x:c r="E1" s="26"/>
      <x:c r="F1" s="26"/>
      <x:c r="G1" s="26"/>
    </x:row>
    <x:row r="2">
      <x:c r="A2" s="26"/>
      <x:c r="B2" s="26"/>
      <x:c r="C2" s="26"/>
      <x:c r="D2" s="26"/>
      <x:c r="E2" s="26"/>
      <x:c r="F2" s="26"/>
      <x:c r="G2" s="26"/>
    </x:row>
    <x:row r="4">
      <x:c r="A4" s="6" t="str">
        <x:v>Order</x:v>
      </x:c>
      <x:c r="B4" s="6" t="str">
        <x:v>Product Step</x:v>
      </x:c>
      <x:c r="C4" s="6" t="str">
        <x:v>Input</x:v>
      </x:c>
      <x:c r="D4" s="6" t="str">
        <x:v>Prompt / Logic Used</x:v>
      </x:c>
      <x:c r="E4" s="6" t="str">
        <x:v>Output</x:v>
      </x:c>
      <x:c r="F4" s="6" t="str">
        <x:v>Execution Type</x:v>
      </x:c>
      <x:c r="G4" s="6" t="str">
        <x:v>Provenance</x:v>
      </x:c>
    </x:row>
    <x:row r="5">
      <x:c r="A5" s="13" t="n">
        <x:v>1</x:v>
      </x:c>
      <x:c r="B5" s="13" t="str">
        <x:v>Step 1</x:v>
      </x:c>
      <x:c r="C5" s="13" t="str">
        <x:v>Theme or user risk event</x:v>
      </x:c>
      <x:c r="D5" s="13" t="str">
        <x:v>Original Step 1 methodology + discovery/evidence helper prompts</x:v>
      </x:c>
      <x:c r="E5" s="13" t="str">
        <x:v>Enriched event narrative/evidence</x:v>
      </x:c>
      <x:c r="F5" s="13" t="str">
        <x:v>AI pipeline</x:v>
      </x:c>
      <x:c r="G5" s="13" t="str">
        <x:v>Original + technical helpers</x:v>
      </x:c>
    </x:row>
    <x:row r="6">
      <x:c r="A6" s="13" t="n">
        <x:v>2</x:v>
      </x:c>
      <x:c r="B6" s="13" t="str">
        <x:v>Step 2.1</x:v>
      </x:c>
      <x:c r="C6" s="13" t="str">
        <x:v>Step 1 event</x:v>
      </x:c>
      <x:c r="D6" s="13" t="str">
        <x:v>step2_scenario.txt</x:v>
      </x:c>
      <x:c r="E6" s="13" t="str">
        <x:v>Scenario + critical assumptions</x:v>
      </x:c>
      <x:c r="F6" s="13" t="str">
        <x:v>LLM</x:v>
      </x:c>
      <x:c r="G6" s="13" t="str">
        <x:v>Derived from Step 2a V7</x:v>
      </x:c>
    </x:row>
    <x:row r="7">
      <x:c r="A7" s="13" t="n">
        <x:v>3</x:v>
      </x:c>
      <x:c r="B7" s="13" t="str">
        <x:v>Step 2.2</x:v>
      </x:c>
      <x:c r="C7" s="13" t="str">
        <x:v>Scenario + portfolio taxonomy/upload</x:v>
      </x:c>
      <x:c r="D7" s="13" t="str">
        <x:v>Deterministic portfolio-selection backend</x:v>
      </x:c>
      <x:c r="E7" s="13" t="str">
        <x:v>Selected companies/CAGIDs</x:v>
      </x:c>
      <x:c r="F7" s="13" t="str">
        <x:v>Backend logic</x:v>
      </x:c>
      <x:c r="G7" s="13" t="str">
        <x:v>No LLM prompt</x:v>
      </x:c>
    </x:row>
    <x:row r="8">
      <x:c r="A8" s="13" t="n">
        <x:v>4</x:v>
      </x:c>
      <x:c r="B8" s="13" t="str">
        <x:v>Step 2.3</x:v>
      </x:c>
      <x:c r="C8" s="13" t="str">
        <x:v>Scenario + selected portfolio</x:v>
      </x:c>
      <x:c r="D8" s="13" t="str">
        <x:v>step2_event_factors.txt</x:v>
      </x:c>
      <x:c r="E8" s="13" t="str">
        <x:v>Event-driven factors/metrics/scoring</x:v>
      </x:c>
      <x:c r="F8" s="13" t="str">
        <x:v>LLM + backend validation</x:v>
      </x:c>
      <x:c r="G8" s="13" t="str">
        <x:v>Derived from Step 2a V7</x:v>
      </x:c>
    </x:row>
    <x:row r="9">
      <x:c r="A9" s="13" t="n">
        <x:v>5</x:v>
      </x:c>
      <x:c r="B9" s="13" t="str">
        <x:v>Step 2.4</x:v>
      </x:c>
      <x:c r="C9" s="13" t="str">
        <x:v>Sector L1/L2/L3</x:v>
      </x:c>
      <x:c r="D9" s="13" t="str">
        <x:v>Step 2.4 V6 runtime prompt (V5.2 retained as rollback)</x:v>
      </x:c>
      <x:c r="E9" s="13" t="str">
        <x:v>Sector-inherent factors/metrics/scoring</x:v>
      </x:c>
      <x:c r="F9" s="13" t="str">
        <x:v>LLM + backend weighting</x:v>
      </x:c>
      <x:c r="G9" s="13" t="str">
        <x:v>V6 derived from original Step 2b</x:v>
      </x:c>
    </x:row>
    <x:row r="10">
      <x:c r="A10" s="13" t="n">
        <x:v>6</x:v>
      </x:c>
      <x:c r="B10" s="13" t="str">
        <x:v>Step 2.5</x:v>
      </x:c>
      <x:c r="C10" s="13" t="str">
        <x:v>Companies + event factors + sector factors + evidence</x:v>
      </x:c>
      <x:c r="D10" s="13" t="str">
        <x:v>Step 3a Financials and/or Step 3b Credit Memo methodology</x:v>
      </x:c>
      <x:c r="E10" s="13" t="str">
        <x:v>Name-level residual risk + RRR/classification action</x:v>
      </x:c>
      <x:c r="F10" s="13" t="str">
        <x:v>LLM + deterministic calculations</x:v>
      </x:c>
      <x:c r="G10" s="13" t="str">
        <x:v>Original source prompts</x:v>
      </x:c>
    </x:row>
    <x:row r="11">
      <x:c r="A11" s="13" t="n">
        <x:v>7</x:v>
      </x:c>
      <x:c r="B11" s="13" t="str">
        <x:v>Final / Step 4</x:v>
      </x:c>
      <x:c r="C11" s="13" t="str">
        <x:v>Name assessments + exposure</x:v>
      </x:c>
      <x:c r="D11" s="13" t="str">
        <x:v>Sector Impact Assessment v4.1 methodology</x:v>
      </x:c>
      <x:c r="E11" s="13" t="str">
        <x:v>Portfolio/sector impact report</x:v>
      </x:c>
      <x:c r="F11" s="13" t="str">
        <x:v>LLM report + deterministic aggregation</x:v>
      </x:c>
      <x:c r="G11" s="13" t="str">
        <x:v>Original source prompt</x:v>
      </x:c>
    </x:row>
    <x:row r="14">
      <x:c r="A14" s="41" t="str">
        <x:v>Numbering note: the product UI numbering (Step 2.1–2.5) does not exactly match the original business document numbering (Step 2a, Step 2b, Step 3a, Step 3b, Step 4). This workbook maps the two explicitly to avoid implying that runtime prompt files represent new client methodology.</x:v>
      </x:c>
      <x:c r="B14" s="41"/>
      <x:c r="C14" s="41"/>
      <x:c r="D14" s="41"/>
      <x:c r="E14" s="41"/>
      <x:c r="F14" s="41"/>
      <x:c r="G14" s="41"/>
    </x:row>
    <x:row r="15">
      <x:c r="A15" s="41"/>
      <x:c r="B15" s="41"/>
      <x:c r="C15" s="41"/>
      <x:c r="D15" s="41"/>
      <x:c r="E15" s="41"/>
      <x:c r="F15" s="41"/>
      <x:c r="G15" s="41"/>
    </x:row>
  </x:sheetData>
  <x:mergeCells>
    <x:mergeCell ref="A1:G2"/>
    <x:mergeCell ref="A14:G15"/>
  </x:mergeCells>
  <x:pageMargins left="0.7" right="0.7" top="0.75" bottom="0.75" header="0.3" footer="0.3"/>
</x:worksheet>
</file>